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ziza\Downloads\"/>
    </mc:Choice>
  </mc:AlternateContent>
  <xr:revisionPtr revIDLastSave="0" documentId="13_ncr:1_{401D6C26-D760-4C3F-9B95-B828A6E56BF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Зарплата" sheetId="1" r:id="rId1"/>
    <sheet name="Товар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2" l="1"/>
  <c r="G5" i="2" s="1"/>
  <c r="E5" i="2"/>
  <c r="E4" i="2"/>
  <c r="F4" i="2" s="1"/>
  <c r="G4" i="2" s="1"/>
  <c r="E3" i="2"/>
  <c r="F3" i="2" s="1"/>
  <c r="G3" i="2" s="1"/>
  <c r="E2" i="2"/>
  <c r="F2" i="2" s="1"/>
  <c r="B7" i="1"/>
  <c r="D6" i="1"/>
  <c r="D5" i="1"/>
  <c r="D4" i="1"/>
  <c r="E4" i="1" s="1"/>
  <c r="F4" i="1" s="1"/>
  <c r="E3" i="1"/>
  <c r="F3" i="1" s="1"/>
  <c r="D3" i="1"/>
  <c r="J2" i="1"/>
  <c r="E2" i="1"/>
  <c r="D2" i="1"/>
  <c r="F6" i="2" l="1"/>
  <c r="G2" i="2"/>
  <c r="G6" i="2" s="1"/>
  <c r="D7" i="1"/>
  <c r="F2" i="1"/>
  <c r="E6" i="1"/>
  <c r="E7" i="1" s="1"/>
  <c r="E5" i="1"/>
  <c r="F5" i="1" s="1"/>
  <c r="F7" i="1" l="1"/>
  <c r="B11" i="1"/>
  <c r="B10" i="1"/>
  <c r="F6" i="1"/>
  <c r="B9" i="1" s="1"/>
</calcChain>
</file>

<file path=xl/sharedStrings.xml><?xml version="1.0" encoding="utf-8"?>
<sst xmlns="http://schemas.openxmlformats.org/spreadsheetml/2006/main" count="32" uniqueCount="31">
  <si>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</si>
  <si>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</si>
  <si>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</si>
  <si>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</si>
  <si>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</si>
  <si>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</si>
  <si>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</si>
  <si>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</si>
  <si>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</si>
  <si>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</si>
  <si>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</si>
  <si>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</si>
  <si>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</si>
  <si>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</si>
  <si>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</si>
  <si>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</si>
  <si>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</si>
  <si>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</si>
  <si>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</si>
  <si>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</si>
  <si>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</si>
  <si>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</si>
  <si>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</si>
  <si>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</si>
  <si>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</t>
  </si>
  <si>
    <t>Ставка НДС:</t>
  </si>
  <si>
    <t>Ноутбук</t>
  </si>
  <si>
    <t>Монитор</t>
  </si>
  <si>
    <t>Клавиатура</t>
  </si>
  <si>
    <t>Мышь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</si>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</sst>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₽"/>
    <numFmt numFmtId="165" formatCode="0&quot;%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  <font>
      <b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9" fontId="3" fillId="3" borderId="0" xfId="0" applyNumberFormat="1" applyFont="1" applyFill="1" applyAlignment="1">
      <alignment horizontal="center"/>
    </xf>
    <xf numFmtId="0" fontId="3" fillId="0" borderId="1" xfId="0" applyFont="1" applyBorder="1"/>
    <xf numFmtId="0" fontId="0" fillId="0" borderId="1" xfId="0" applyBorder="1"/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3" fillId="0" borderId="2" xfId="0" applyFont="1" applyBorder="1"/>
    <xf numFmtId="9" fontId="3" fillId="3" borderId="4" xfId="0" applyNumberFormat="1" applyFont="1" applyFill="1" applyBorder="1" applyAlignment="1">
      <alignment horizontal="center"/>
    </xf>
    <xf numFmtId="0" fontId="3" fillId="0" borderId="5" xfId="0" applyFont="1" applyBorder="1"/>
    <xf numFmtId="164" fontId="0" fillId="0" borderId="2" xfId="0" applyNumberFormat="1" applyBorder="1"/>
    <xf numFmtId="0" fontId="3" fillId="0" borderId="6" xfId="0" applyFont="1" applyBorder="1"/>
    <xf numFmtId="0" fontId="3" fillId="3" borderId="7" xfId="0" applyFont="1" applyFill="1" applyBorder="1" applyAlignment="1">
      <alignment horizontal="center"/>
    </xf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" sqref="J1"/>
    </sheetView>
  </sheetViews>
  <sheetFormatPr defaultRowHeight="15" x14ac:dyDescent="0.25"/>
  <cols>
    <col min="1" max="1" width="22" customWidth="1"/>
    <col min="2" max="2" width="14" customWidth="1"/>
    <col min="3" max="3" width="12" customWidth="1"/>
    <col min="4" max="6" width="14" customWidth="1"/>
    <col min="7" max="7" width="8" customWidth="1"/>
    <col min="8" max="10" width="14" customWidth="1"/>
  </cols>
  <sheetData>
    <row r="1" spans="1:10" ht="35.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17" t="s">
        <v>7</v>
      </c>
      <c r="I1" s="19" t="s">
        <v>8</v>
      </c>
      <c r="J1" s="21" t="s">
        <v>30</v>
      </c>
    </row>
    <row r="2" spans="1:10" ht="15.75" thickBot="1" x14ac:dyDescent="0.3">
      <c r="A2" s="3" t="s">
        <v>9</v>
      </c>
      <c r="B2" s="4">
        <v>50000</v>
      </c>
      <c r="C2" s="5">
        <v>20</v>
      </c>
      <c r="D2" s="6">
        <f>B2*C2/100</f>
        <v>10000</v>
      </c>
      <c r="E2" s="6">
        <f>(B2+D2)*$H$2</f>
        <v>7800</v>
      </c>
      <c r="F2" s="6">
        <f>B2+D2-E2</f>
        <v>52200</v>
      </c>
      <c r="G2" s="14">
        <v>1</v>
      </c>
      <c r="H2" s="16">
        <v>0.13</v>
      </c>
      <c r="I2" s="20">
        <v>1.5</v>
      </c>
      <c r="J2" s="21">
        <f>B2*$I$2</f>
        <v>75000</v>
      </c>
    </row>
    <row r="3" spans="1:10" x14ac:dyDescent="0.25">
      <c r="A3" s="3" t="s">
        <v>10</v>
      </c>
      <c r="B3" s="4">
        <v>45000</v>
      </c>
      <c r="C3" s="5">
        <v>15</v>
      </c>
      <c r="D3" s="6">
        <f>B3*C3/100</f>
        <v>6750</v>
      </c>
      <c r="E3" s="6">
        <f>(B3+D3)*$H$2</f>
        <v>6727.5</v>
      </c>
      <c r="F3" s="6">
        <f>B3+D3-E3</f>
        <v>45022.5</v>
      </c>
      <c r="G3" s="7">
        <v>2</v>
      </c>
    </row>
    <row r="4" spans="1:10" x14ac:dyDescent="0.25">
      <c r="A4" s="3" t="s">
        <v>11</v>
      </c>
      <c r="B4" s="4">
        <v>62000</v>
      </c>
      <c r="C4" s="5">
        <v>25</v>
      </c>
      <c r="D4" s="6">
        <f>B4*C4/100</f>
        <v>15500</v>
      </c>
      <c r="E4" s="6">
        <f>(B4+D4)*$H$2</f>
        <v>10075</v>
      </c>
      <c r="F4" s="6">
        <f>B4+D4-E4</f>
        <v>67425</v>
      </c>
      <c r="G4" s="7">
        <v>3</v>
      </c>
    </row>
    <row r="5" spans="1:10" x14ac:dyDescent="0.25">
      <c r="A5" s="3" t="s">
        <v>12</v>
      </c>
      <c r="B5" s="4">
        <v>55000</v>
      </c>
      <c r="C5" s="5">
        <v>10</v>
      </c>
      <c r="D5" s="6">
        <f>B5*C5/100</f>
        <v>5500</v>
      </c>
      <c r="E5" s="6">
        <f>(B5+D5)*$H$2</f>
        <v>7865</v>
      </c>
      <c r="F5" s="6">
        <f>B5+D5-E5</f>
        <v>52635</v>
      </c>
      <c r="G5" s="7">
        <v>4</v>
      </c>
    </row>
    <row r="6" spans="1:10" x14ac:dyDescent="0.25">
      <c r="A6" s="3" t="s">
        <v>13</v>
      </c>
      <c r="B6" s="4">
        <v>40000</v>
      </c>
      <c r="C6" s="5">
        <v>30</v>
      </c>
      <c r="D6" s="6">
        <f>B6*C6/100</f>
        <v>12000</v>
      </c>
      <c r="E6" s="6">
        <f>(B6+D6)*$H$2</f>
        <v>6760</v>
      </c>
      <c r="F6" s="6">
        <f>B6+D6-E6</f>
        <v>45240</v>
      </c>
      <c r="G6" s="7">
        <v>5</v>
      </c>
    </row>
    <row r="7" spans="1:10" x14ac:dyDescent="0.25">
      <c r="A7" s="9" t="s">
        <v>14</v>
      </c>
      <c r="B7" s="6">
        <f>SUM(B2:B6)</f>
        <v>252000</v>
      </c>
      <c r="C7" s="10"/>
      <c r="D7" s="6">
        <f>SUM(D2:D6)</f>
        <v>49750</v>
      </c>
      <c r="E7" s="6">
        <f>SUM(E2:E6)</f>
        <v>39227.5</v>
      </c>
      <c r="F7" s="6">
        <f>SUM(F2:F6)</f>
        <v>262522.5</v>
      </c>
      <c r="G7" s="10"/>
    </row>
    <row r="9" spans="1:10" x14ac:dyDescent="0.25">
      <c r="A9" s="15" t="s">
        <v>15</v>
      </c>
      <c r="B9" s="18">
        <f>AVERAGE(F2:F6)</f>
        <v>52504.5</v>
      </c>
      <c r="D9" s="11"/>
      <c r="E9" s="11"/>
      <c r="F9" s="11"/>
    </row>
    <row r="10" spans="1:10" x14ac:dyDescent="0.25">
      <c r="A10" s="15" t="s">
        <v>16</v>
      </c>
      <c r="B10" s="18">
        <f>MAX(F2:F6)</f>
        <v>67425</v>
      </c>
      <c r="D10" s="11"/>
      <c r="E10" s="11"/>
      <c r="F10" s="11"/>
    </row>
    <row r="11" spans="1:10" x14ac:dyDescent="0.25">
      <c r="A11" s="15" t="s">
        <v>17</v>
      </c>
      <c r="B11" s="18">
        <f>MIN(F2:F6)</f>
        <v>45022.5</v>
      </c>
      <c r="D11" s="11"/>
      <c r="E11" s="11"/>
      <c r="F11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5" x14ac:dyDescent="0.25"/>
  <cols>
    <col min="1" max="1" width="18" customWidth="1"/>
    <col min="2" max="2" width="14" customWidth="1"/>
    <col min="3" max="4" width="10" customWidth="1"/>
    <col min="5" max="5" width="14" customWidth="1"/>
    <col min="6" max="6" width="18" customWidth="1"/>
    <col min="7" max="7" width="14" customWidth="1"/>
    <col min="9" max="9" width="14" customWidth="1"/>
  </cols>
  <sheetData>
    <row r="1" spans="1:9" ht="35.1" customHeigh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I1" s="2" t="s">
        <v>25</v>
      </c>
    </row>
    <row r="2" spans="1:9" x14ac:dyDescent="0.25">
      <c r="A2" s="3" t="s">
        <v>26</v>
      </c>
      <c r="B2" s="4">
        <v>45000</v>
      </c>
      <c r="C2" s="12">
        <v>5</v>
      </c>
      <c r="D2" s="12">
        <v>5</v>
      </c>
      <c r="E2" s="6">
        <f>B2*C2</f>
        <v>225000</v>
      </c>
      <c r="F2" s="6">
        <f>E2*(1-D2/100)</f>
        <v>213750</v>
      </c>
      <c r="G2" s="6">
        <f>F2*$I$2</f>
        <v>42750</v>
      </c>
      <c r="I2" s="8">
        <v>0.2</v>
      </c>
    </row>
    <row r="3" spans="1:9" x14ac:dyDescent="0.25">
      <c r="A3" s="3" t="s">
        <v>27</v>
      </c>
      <c r="B3" s="4">
        <v>18000</v>
      </c>
      <c r="C3" s="12">
        <v>10</v>
      </c>
      <c r="D3" s="12">
        <v>3</v>
      </c>
      <c r="E3" s="6">
        <f>B3*C3</f>
        <v>180000</v>
      </c>
      <c r="F3" s="6">
        <f>E3*(1-D3/100)</f>
        <v>174600</v>
      </c>
      <c r="G3" s="6">
        <f>F3*$I$2</f>
        <v>34920</v>
      </c>
    </row>
    <row r="4" spans="1:9" x14ac:dyDescent="0.25">
      <c r="A4" s="3" t="s">
        <v>28</v>
      </c>
      <c r="B4" s="4">
        <v>1500</v>
      </c>
      <c r="C4" s="12">
        <v>25</v>
      </c>
      <c r="D4" s="12">
        <v>10</v>
      </c>
      <c r="E4" s="6">
        <f>B4*C4</f>
        <v>37500</v>
      </c>
      <c r="F4" s="6">
        <f>E4*(1-D4/100)</f>
        <v>33750</v>
      </c>
      <c r="G4" s="6">
        <f>F4*$I$2</f>
        <v>6750</v>
      </c>
    </row>
    <row r="5" spans="1:9" x14ac:dyDescent="0.25">
      <c r="A5" s="3" t="s">
        <v>29</v>
      </c>
      <c r="B5" s="4">
        <v>800</v>
      </c>
      <c r="C5" s="12">
        <v>30</v>
      </c>
      <c r="D5" s="12">
        <v>7</v>
      </c>
      <c r="E5" s="6">
        <f>B5*C5</f>
        <v>24000</v>
      </c>
      <c r="F5" s="6">
        <f>E5*(1-D5/100)</f>
        <v>22320</v>
      </c>
      <c r="G5" s="6">
        <f>F5*$I$2</f>
        <v>4464</v>
      </c>
    </row>
    <row r="6" spans="1:9" x14ac:dyDescent="0.25">
      <c r="A6" s="9" t="s">
        <v>14</v>
      </c>
      <c r="B6" s="6"/>
      <c r="C6" s="10"/>
      <c r="D6" s="10"/>
      <c r="E6" s="6"/>
      <c r="F6" s="6">
        <f>SUM(F2:F5)</f>
        <v>444420</v>
      </c>
      <c r="G6" s="6">
        <f>SUM(G2:G5)</f>
        <v>88884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Aziza</cp:lastModifiedBy>
  <dcterms:created xsi:type="dcterms:W3CDTF">2026-09-27T18:36:14Z</dcterms:created>
  <dcterms:modified xsi:type="dcterms:W3CDTF">2026-09-27T18:39:34Z</dcterms:modified>
</cp:coreProperties>
</file>